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etharamanj\Documents\"/>
    </mc:Choice>
  </mc:AlternateContent>
  <bookViews>
    <workbookView xWindow="0" yWindow="0" windowWidth="15345" windowHeight="5865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7" i="1" l="1"/>
  <c r="V8" i="1"/>
  <c r="V9" i="1"/>
  <c r="V10" i="1"/>
  <c r="V11" i="1"/>
  <c r="V12" i="1"/>
  <c r="V13" i="1"/>
  <c r="V14" i="1"/>
  <c r="V15" i="1"/>
  <c r="V6" i="1"/>
  <c r="P26" i="1"/>
  <c r="U7" i="1" l="1"/>
  <c r="U8" i="1"/>
  <c r="U9" i="1"/>
  <c r="U10" i="1"/>
  <c r="U11" i="1"/>
  <c r="U12" i="1"/>
  <c r="U13" i="1"/>
  <c r="U14" i="1"/>
  <c r="U15" i="1"/>
  <c r="U6" i="1"/>
  <c r="T7" i="1"/>
  <c r="T8" i="1"/>
  <c r="T9" i="1"/>
  <c r="T10" i="1"/>
  <c r="T11" i="1"/>
  <c r="T12" i="1"/>
  <c r="T13" i="1"/>
  <c r="T14" i="1"/>
  <c r="T15" i="1"/>
  <c r="T6" i="1"/>
  <c r="L7" i="1"/>
  <c r="L8" i="1"/>
  <c r="L9" i="1"/>
  <c r="S9" i="1" s="1"/>
  <c r="L10" i="1"/>
  <c r="L11" i="1"/>
  <c r="L12" i="1"/>
  <c r="L13" i="1"/>
  <c r="S13" i="1" s="1"/>
  <c r="L14" i="1"/>
  <c r="L15" i="1"/>
  <c r="S7" i="1"/>
  <c r="S8" i="1"/>
  <c r="S10" i="1"/>
  <c r="S11" i="1"/>
  <c r="S12" i="1"/>
  <c r="S14" i="1"/>
  <c r="S15" i="1"/>
  <c r="S6" i="1"/>
  <c r="L6" i="1"/>
  <c r="R7" i="1"/>
  <c r="R8" i="1"/>
  <c r="R9" i="1"/>
  <c r="R10" i="1"/>
  <c r="R11" i="1"/>
  <c r="R12" i="1"/>
  <c r="R13" i="1"/>
  <c r="R14" i="1"/>
  <c r="R15" i="1"/>
  <c r="R6" i="1"/>
  <c r="Q6" i="1"/>
  <c r="Q7" i="1"/>
  <c r="Q8" i="1"/>
  <c r="Q9" i="1"/>
  <c r="Q10" i="1"/>
  <c r="Q11" i="1"/>
  <c r="Q12" i="1"/>
  <c r="Q13" i="1"/>
  <c r="Q14" i="1"/>
  <c r="Q15" i="1"/>
  <c r="M7" i="1" l="1"/>
  <c r="P7" i="1" s="1"/>
  <c r="M8" i="1"/>
  <c r="P8" i="1" s="1"/>
  <c r="M9" i="1"/>
  <c r="P9" i="1" s="1"/>
  <c r="M10" i="1"/>
  <c r="P10" i="1" s="1"/>
  <c r="M11" i="1"/>
  <c r="P11" i="1" s="1"/>
  <c r="M12" i="1"/>
  <c r="P12" i="1" s="1"/>
  <c r="M13" i="1"/>
  <c r="P13" i="1" s="1"/>
  <c r="M14" i="1"/>
  <c r="P14" i="1" s="1"/>
  <c r="M15" i="1"/>
  <c r="P15" i="1" s="1"/>
  <c r="M6" i="1"/>
  <c r="P6" i="1" s="1"/>
</calcChain>
</file>

<file path=xl/sharedStrings.xml><?xml version="1.0" encoding="utf-8"?>
<sst xmlns="http://schemas.openxmlformats.org/spreadsheetml/2006/main" count="76" uniqueCount="38">
  <si>
    <t xml:space="preserve"> SCSVMV UNIVERSITY STUDENT DETAILS</t>
  </si>
  <si>
    <t xml:space="preserve">S.NO </t>
  </si>
  <si>
    <t>REG.NO</t>
  </si>
  <si>
    <t>NAME</t>
  </si>
  <si>
    <t>COURSE</t>
  </si>
  <si>
    <t>SEMESTER</t>
  </si>
  <si>
    <t>THANIGAIVEL</t>
  </si>
  <si>
    <t>BCA</t>
  </si>
  <si>
    <t>III</t>
  </si>
  <si>
    <t>BDS</t>
  </si>
  <si>
    <t>BDS LAB</t>
  </si>
  <si>
    <t>OS</t>
  </si>
  <si>
    <t>POM</t>
  </si>
  <si>
    <t>PYTHON</t>
  </si>
  <si>
    <t>PYTHON LAB</t>
  </si>
  <si>
    <t xml:space="preserve">THARNESH </t>
  </si>
  <si>
    <t>SARATHI</t>
  </si>
  <si>
    <t>VISHALI</t>
  </si>
  <si>
    <t>VISHNU</t>
  </si>
  <si>
    <t>SARVESH</t>
  </si>
  <si>
    <t>KANDEEPAN</t>
  </si>
  <si>
    <t>RAJESH</t>
  </si>
  <si>
    <t>MANI</t>
  </si>
  <si>
    <t>ROHITH</t>
  </si>
  <si>
    <t>GRADE</t>
  </si>
  <si>
    <t>RESULT</t>
  </si>
  <si>
    <t>PASS</t>
  </si>
  <si>
    <t>A</t>
  </si>
  <si>
    <t>TOTAL</t>
  </si>
  <si>
    <t>AVERAGE</t>
  </si>
  <si>
    <t>IF CONDITION</t>
  </si>
  <si>
    <t>AND CONDITION</t>
  </si>
  <si>
    <t>OR CONDITION</t>
  </si>
  <si>
    <t>STATUS</t>
  </si>
  <si>
    <t>MINIMUM</t>
  </si>
  <si>
    <t>MAXIMUM</t>
  </si>
  <si>
    <t>VLOOKUP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</si>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</sst>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22"/>
      <color theme="0"/>
      <name val="Castellar"/>
      <family val="1"/>
    </font>
    <font>
      <sz val="22"/>
      <color theme="0"/>
      <name val="Baskerville Old Face"/>
      <family val="1"/>
    </font>
    <font>
      <b/>
      <sz val="12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57257D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2" borderId="1" xfId="0" applyFont="1" applyFill="1" applyBorder="1"/>
    <xf numFmtId="0" fontId="2" fillId="2" borderId="1" xfId="0" applyFont="1" applyFill="1" applyBorder="1"/>
    <xf numFmtId="0" fontId="4" fillId="0" borderId="1" xfId="0" applyFont="1" applyBorder="1"/>
    <xf numFmtId="0" fontId="3" fillId="3" borderId="1" xfId="0" applyFont="1" applyFill="1" applyBorder="1"/>
    <xf numFmtId="0" fontId="5" fillId="3" borderId="1" xfId="0" applyFont="1" applyFill="1" applyBorder="1"/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725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6"/>
  <sheetViews>
    <sheetView tabSelected="1" zoomScale="68" zoomScaleNormal="68" workbookViewId="0">
      <selection activeCell="P25" sqref="P25"/>
    </sheetView>
  </sheetViews>
  <sheetFormatPr defaultRowHeight="15" x14ac:dyDescent="0.25"/>
  <cols>
    <col min="2" max="2" width="10" bestFit="1" customWidth="1"/>
    <col min="3" max="3" width="12.85546875" customWidth="1"/>
    <col min="4" max="4" width="9" customWidth="1"/>
    <col min="5" max="5" width="11" customWidth="1"/>
    <col min="11" max="11" width="13.28515625" customWidth="1"/>
    <col min="13" max="13" width="9.85546875" customWidth="1"/>
    <col min="16" max="16" width="14.85546875" bestFit="1" customWidth="1"/>
    <col min="17" max="17" width="16.85546875" customWidth="1"/>
    <col min="18" max="18" width="16" bestFit="1" customWidth="1"/>
    <col min="20" max="20" width="10.42578125" bestFit="1" customWidth="1"/>
    <col min="21" max="21" width="14" customWidth="1"/>
    <col min="22" max="22" width="12.7109375" customWidth="1"/>
  </cols>
  <sheetData>
    <row r="1" spans="1:2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3" ht="28.5" x14ac:dyDescent="0.45">
      <c r="A2" s="2"/>
      <c r="B2" s="2"/>
      <c r="C2" s="2"/>
      <c r="D2" s="3" t="s">
        <v>0</v>
      </c>
      <c r="E2" s="3"/>
      <c r="F2" s="3"/>
      <c r="G2" s="4"/>
      <c r="H2" s="4"/>
      <c r="I2" s="4"/>
      <c r="J2" s="4"/>
      <c r="K2" s="4"/>
      <c r="L2" s="4"/>
      <c r="M2" s="4"/>
      <c r="N2" s="2"/>
      <c r="O2" s="2"/>
      <c r="P2" s="2"/>
      <c r="Q2" s="2"/>
      <c r="R2" s="2"/>
      <c r="S2" s="2"/>
      <c r="T2" s="2"/>
      <c r="U2" s="2"/>
      <c r="V2" s="2"/>
    </row>
    <row r="3" spans="1:2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3" ht="15.75" x14ac:dyDescent="0.25">
      <c r="A4" s="6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9</v>
      </c>
      <c r="G4" s="6" t="s">
        <v>10</v>
      </c>
      <c r="H4" s="6" t="s">
        <v>11</v>
      </c>
      <c r="I4" s="6" t="s">
        <v>12</v>
      </c>
      <c r="J4" s="6" t="s">
        <v>13</v>
      </c>
      <c r="K4" s="6" t="s">
        <v>14</v>
      </c>
      <c r="L4" s="6" t="s">
        <v>28</v>
      </c>
      <c r="M4" s="6" t="s">
        <v>29</v>
      </c>
      <c r="N4" s="6" t="s">
        <v>24</v>
      </c>
      <c r="O4" s="6" t="s">
        <v>25</v>
      </c>
      <c r="P4" s="6" t="s">
        <v>30</v>
      </c>
      <c r="Q4" s="7" t="s">
        <v>31</v>
      </c>
      <c r="R4" s="6" t="s">
        <v>32</v>
      </c>
      <c r="S4" s="6" t="s">
        <v>33</v>
      </c>
      <c r="T4" s="7" t="s">
        <v>34</v>
      </c>
      <c r="U4" s="7" t="s">
        <v>35</v>
      </c>
      <c r="V4" s="7" t="s">
        <v>36</v>
      </c>
    </row>
    <row r="5" spans="1:23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3" x14ac:dyDescent="0.25">
      <c r="A6" s="1">
        <v>1</v>
      </c>
      <c r="B6" s="1">
        <v>51</v>
      </c>
      <c r="C6" s="1" t="s">
        <v>6</v>
      </c>
      <c r="D6" s="1" t="s">
        <v>7</v>
      </c>
      <c r="E6" s="1" t="s">
        <v>8</v>
      </c>
      <c r="F6" s="1">
        <v>98</v>
      </c>
      <c r="G6" s="1">
        <v>97</v>
      </c>
      <c r="H6" s="1">
        <v>99</v>
      </c>
      <c r="I6" s="1">
        <v>96</v>
      </c>
      <c r="J6" s="1">
        <v>99</v>
      </c>
      <c r="K6" s="1">
        <v>95</v>
      </c>
      <c r="L6" s="8">
        <f t="shared" ref="L6:L15" si="0">SUM(F6:K6)</f>
        <v>584</v>
      </c>
      <c r="M6" s="5">
        <f>AVERAGE(F6:K6)</f>
        <v>97.333333333333329</v>
      </c>
      <c r="N6" s="1" t="s">
        <v>27</v>
      </c>
      <c r="O6" s="5" t="s">
        <v>26</v>
      </c>
      <c r="P6" s="1" t="str">
        <f>IF(M6&gt;=80,"PASS","FAIL")</f>
        <v>PASS</v>
      </c>
      <c r="Q6" s="1" t="str">
        <f>IF(AND(F6&gt;=60,G6&gt;=60,H6&gt;=60,I6&gt;=60,J6&gt;=60,K6&gt;=60),"PASS","FAIL")</f>
        <v>PASS</v>
      </c>
      <c r="R6" s="1" t="str">
        <f>IF(OR(F6&gt;=60,G6&gt;=60,H6&gt;=60,I6&gt;=60,J6&gt;=60,K6&gt;=60),"PASS","FAIL")</f>
        <v>PASS</v>
      </c>
      <c r="S6" s="1" t="str">
        <f>IF(L6&gt;=500,"GOOD",IF(L6&gt;=360,"AVERAGE","POOR"))</f>
        <v>GOOD</v>
      </c>
      <c r="T6" s="1">
        <f>MIN(F6:K6)</f>
        <v>95</v>
      </c>
      <c r="U6" s="1">
        <f>MAX(F6:K6)</f>
        <v>99</v>
      </c>
      <c r="V6" s="1">
        <f>VLOOKUP(B6, $B$6:$U$15, 11, FALSE)</f>
        <v>584</v>
      </c>
    </row>
    <row r="7" spans="1:23" x14ac:dyDescent="0.25">
      <c r="A7" s="1">
        <v>2</v>
      </c>
      <c r="B7" s="1">
        <v>52</v>
      </c>
      <c r="C7" s="1" t="s">
        <v>15</v>
      </c>
      <c r="D7" s="1" t="s">
        <v>7</v>
      </c>
      <c r="E7" s="1" t="s">
        <v>8</v>
      </c>
      <c r="F7" s="1">
        <v>93</v>
      </c>
      <c r="G7" s="1">
        <v>94</v>
      </c>
      <c r="H7" s="1">
        <v>96</v>
      </c>
      <c r="I7" s="1">
        <v>87</v>
      </c>
      <c r="J7" s="1">
        <v>79</v>
      </c>
      <c r="K7" s="1">
        <v>76</v>
      </c>
      <c r="L7" s="8">
        <f t="shared" si="0"/>
        <v>525</v>
      </c>
      <c r="M7" s="5">
        <f t="shared" ref="M7:M15" si="1">AVERAGE(F7:K7)</f>
        <v>87.5</v>
      </c>
      <c r="N7" s="1" t="s">
        <v>27</v>
      </c>
      <c r="O7" s="5" t="s">
        <v>26</v>
      </c>
      <c r="P7" s="1" t="str">
        <f t="shared" ref="P7:P15" si="2">IF(M7&gt;=80,"PASS","FAIL")</f>
        <v>PASS</v>
      </c>
      <c r="Q7" s="1" t="str">
        <f>IF(AND(F7&gt;=60,G7&gt;=60,H7&gt;=60,I7&gt;=60,J7&gt;=60,K7&gt;=60),"PASS","FAIL")</f>
        <v>PASS</v>
      </c>
      <c r="R7" s="1" t="str">
        <f t="shared" ref="R7:R15" si="3">IF(OR(F7&gt;=60,G7&gt;=60,H7&gt;=60,I7&gt;=60,J7&gt;=60,K7&gt;=60),"PASS","FAIL")</f>
        <v>PASS</v>
      </c>
      <c r="S7" s="1" t="str">
        <f t="shared" ref="S7:S15" si="4">IF(L7&gt;=500,"GOOD",IF(L7&gt;=360,"AVERAGE","POOR"))</f>
        <v>GOOD</v>
      </c>
      <c r="T7" s="1">
        <f t="shared" ref="T7:T15" si="5">MIN(F7:K7)</f>
        <v>76</v>
      </c>
      <c r="U7" s="1">
        <f t="shared" ref="U7:U15" si="6">MAX(F7:K7)</f>
        <v>96</v>
      </c>
      <c r="V7" s="1">
        <f t="shared" ref="V7:V15" si="7">VLOOKUP(B7, $B$6:$U$15, 11, FALSE)</f>
        <v>525</v>
      </c>
    </row>
    <row r="8" spans="1:23" x14ac:dyDescent="0.25">
      <c r="A8" s="1">
        <v>3</v>
      </c>
      <c r="B8" s="1">
        <v>53</v>
      </c>
      <c r="C8" s="1" t="s">
        <v>16</v>
      </c>
      <c r="D8" s="1" t="s">
        <v>7</v>
      </c>
      <c r="E8" s="1" t="s">
        <v>8</v>
      </c>
      <c r="F8" s="1">
        <v>93</v>
      </c>
      <c r="G8" s="1">
        <v>95</v>
      </c>
      <c r="H8" s="1">
        <v>85</v>
      </c>
      <c r="I8" s="1">
        <v>68</v>
      </c>
      <c r="J8" s="1">
        <v>97</v>
      </c>
      <c r="K8" s="1">
        <v>84</v>
      </c>
      <c r="L8" s="8">
        <f t="shared" si="0"/>
        <v>522</v>
      </c>
      <c r="M8" s="5">
        <f t="shared" si="1"/>
        <v>87</v>
      </c>
      <c r="N8" s="1" t="s">
        <v>27</v>
      </c>
      <c r="O8" s="5" t="s">
        <v>26</v>
      </c>
      <c r="P8" s="1" t="str">
        <f t="shared" si="2"/>
        <v>PASS</v>
      </c>
      <c r="Q8" s="1" t="str">
        <f t="shared" ref="Q8:Q15" si="8">IF(AND(F8&gt;=60,G8&gt;=60,H8&gt;=60,I8&gt;=60,J8&gt;=60,K8&gt;=60),"PASS","FAIL")</f>
        <v>PASS</v>
      </c>
      <c r="R8" s="1" t="str">
        <f t="shared" si="3"/>
        <v>PASS</v>
      </c>
      <c r="S8" s="1" t="str">
        <f t="shared" si="4"/>
        <v>GOOD</v>
      </c>
      <c r="T8" s="1">
        <f t="shared" si="5"/>
        <v>68</v>
      </c>
      <c r="U8" s="1">
        <f t="shared" si="6"/>
        <v>97</v>
      </c>
      <c r="V8" s="1">
        <f t="shared" si="7"/>
        <v>522</v>
      </c>
    </row>
    <row r="9" spans="1:23" x14ac:dyDescent="0.25">
      <c r="A9" s="1">
        <v>4</v>
      </c>
      <c r="B9" s="1">
        <v>54</v>
      </c>
      <c r="C9" s="1" t="s">
        <v>17</v>
      </c>
      <c r="D9" s="1" t="s">
        <v>7</v>
      </c>
      <c r="E9" s="1" t="s">
        <v>8</v>
      </c>
      <c r="F9" s="1">
        <v>92</v>
      </c>
      <c r="G9" s="1">
        <v>94</v>
      </c>
      <c r="H9" s="1">
        <v>67</v>
      </c>
      <c r="I9" s="1">
        <v>97</v>
      </c>
      <c r="J9" s="1">
        <v>87</v>
      </c>
      <c r="K9" s="1">
        <v>97</v>
      </c>
      <c r="L9" s="8">
        <f t="shared" si="0"/>
        <v>534</v>
      </c>
      <c r="M9" s="5">
        <f t="shared" si="1"/>
        <v>89</v>
      </c>
      <c r="N9" s="1" t="s">
        <v>27</v>
      </c>
      <c r="O9" s="5" t="s">
        <v>26</v>
      </c>
      <c r="P9" s="1" t="str">
        <f t="shared" si="2"/>
        <v>PASS</v>
      </c>
      <c r="Q9" s="1" t="str">
        <f t="shared" si="8"/>
        <v>PASS</v>
      </c>
      <c r="R9" s="1" t="str">
        <f t="shared" si="3"/>
        <v>PASS</v>
      </c>
      <c r="S9" s="1" t="str">
        <f t="shared" si="4"/>
        <v>GOOD</v>
      </c>
      <c r="T9" s="1">
        <f t="shared" si="5"/>
        <v>67</v>
      </c>
      <c r="U9" s="1">
        <f t="shared" si="6"/>
        <v>97</v>
      </c>
      <c r="V9" s="1">
        <f t="shared" si="7"/>
        <v>534</v>
      </c>
    </row>
    <row r="10" spans="1:23" x14ac:dyDescent="0.25">
      <c r="A10" s="1">
        <v>5</v>
      </c>
      <c r="B10" s="1">
        <v>55</v>
      </c>
      <c r="C10" s="1" t="s">
        <v>18</v>
      </c>
      <c r="D10" s="1" t="s">
        <v>7</v>
      </c>
      <c r="E10" s="1" t="s">
        <v>8</v>
      </c>
      <c r="F10" s="1">
        <v>83</v>
      </c>
      <c r="G10" s="1">
        <v>85</v>
      </c>
      <c r="H10" s="1">
        <v>98</v>
      </c>
      <c r="I10" s="1">
        <v>97</v>
      </c>
      <c r="J10" s="1">
        <v>86</v>
      </c>
      <c r="K10" s="1">
        <v>76</v>
      </c>
      <c r="L10" s="8">
        <f t="shared" si="0"/>
        <v>525</v>
      </c>
      <c r="M10" s="5">
        <f t="shared" si="1"/>
        <v>87.5</v>
      </c>
      <c r="N10" s="1" t="s">
        <v>27</v>
      </c>
      <c r="O10" s="5" t="s">
        <v>26</v>
      </c>
      <c r="P10" s="1" t="str">
        <f t="shared" si="2"/>
        <v>PASS</v>
      </c>
      <c r="Q10" s="1" t="str">
        <f t="shared" si="8"/>
        <v>PASS</v>
      </c>
      <c r="R10" s="1" t="str">
        <f t="shared" si="3"/>
        <v>PASS</v>
      </c>
      <c r="S10" s="1" t="str">
        <f t="shared" si="4"/>
        <v>GOOD</v>
      </c>
      <c r="T10" s="1">
        <f t="shared" si="5"/>
        <v>76</v>
      </c>
      <c r="U10" s="1">
        <f t="shared" si="6"/>
        <v>98</v>
      </c>
      <c r="V10" s="1">
        <f t="shared" si="7"/>
        <v>525</v>
      </c>
    </row>
    <row r="11" spans="1:23" x14ac:dyDescent="0.25">
      <c r="A11" s="1">
        <v>6</v>
      </c>
      <c r="B11" s="1">
        <v>56</v>
      </c>
      <c r="C11" s="1" t="s">
        <v>19</v>
      </c>
      <c r="D11" s="1" t="s">
        <v>7</v>
      </c>
      <c r="E11" s="1" t="s">
        <v>8</v>
      </c>
      <c r="F11" s="1">
        <v>83</v>
      </c>
      <c r="G11" s="1">
        <v>87</v>
      </c>
      <c r="H11" s="1">
        <v>97</v>
      </c>
      <c r="I11" s="1">
        <v>76</v>
      </c>
      <c r="J11" s="1">
        <v>83</v>
      </c>
      <c r="K11" s="1">
        <v>88</v>
      </c>
      <c r="L11" s="8">
        <f t="shared" si="0"/>
        <v>514</v>
      </c>
      <c r="M11" s="5">
        <f t="shared" si="1"/>
        <v>85.666666666666671</v>
      </c>
      <c r="N11" s="1" t="s">
        <v>27</v>
      </c>
      <c r="O11" s="5" t="s">
        <v>26</v>
      </c>
      <c r="P11" s="1" t="str">
        <f t="shared" si="2"/>
        <v>PASS</v>
      </c>
      <c r="Q11" s="1" t="str">
        <f t="shared" si="8"/>
        <v>PASS</v>
      </c>
      <c r="R11" s="1" t="str">
        <f t="shared" si="3"/>
        <v>PASS</v>
      </c>
      <c r="S11" s="1" t="str">
        <f t="shared" si="4"/>
        <v>GOOD</v>
      </c>
      <c r="T11" s="1">
        <f t="shared" si="5"/>
        <v>76</v>
      </c>
      <c r="U11" s="1">
        <f t="shared" si="6"/>
        <v>97</v>
      </c>
      <c r="V11" s="1">
        <f t="shared" si="7"/>
        <v>514</v>
      </c>
      <c r="W11" t="s">
        <v>37</v>
      </c>
    </row>
    <row r="12" spans="1:23" x14ac:dyDescent="0.25">
      <c r="A12" s="1">
        <v>7</v>
      </c>
      <c r="B12" s="1">
        <v>57</v>
      </c>
      <c r="C12" s="1" t="s">
        <v>20</v>
      </c>
      <c r="D12" s="1" t="s">
        <v>7</v>
      </c>
      <c r="E12" s="1" t="s">
        <v>8</v>
      </c>
      <c r="F12" s="1">
        <v>84</v>
      </c>
      <c r="G12" s="1">
        <v>78</v>
      </c>
      <c r="H12" s="1">
        <v>86</v>
      </c>
      <c r="I12" s="1">
        <v>78</v>
      </c>
      <c r="J12" s="1">
        <v>95</v>
      </c>
      <c r="K12" s="1">
        <v>65</v>
      </c>
      <c r="L12" s="8">
        <f t="shared" si="0"/>
        <v>486</v>
      </c>
      <c r="M12" s="5">
        <f t="shared" si="1"/>
        <v>81</v>
      </c>
      <c r="N12" s="1" t="s">
        <v>27</v>
      </c>
      <c r="O12" s="5" t="s">
        <v>26</v>
      </c>
      <c r="P12" s="1" t="str">
        <f t="shared" si="2"/>
        <v>PASS</v>
      </c>
      <c r="Q12" s="1" t="str">
        <f t="shared" si="8"/>
        <v>PASS</v>
      </c>
      <c r="R12" s="1" t="str">
        <f t="shared" si="3"/>
        <v>PASS</v>
      </c>
      <c r="S12" s="1" t="str">
        <f t="shared" si="4"/>
        <v>AVERAGE</v>
      </c>
      <c r="T12" s="1">
        <f t="shared" si="5"/>
        <v>65</v>
      </c>
      <c r="U12" s="1">
        <f t="shared" si="6"/>
        <v>95</v>
      </c>
      <c r="V12" s="1">
        <f t="shared" si="7"/>
        <v>486</v>
      </c>
    </row>
    <row r="13" spans="1:23" x14ac:dyDescent="0.25">
      <c r="A13" s="1">
        <v>8</v>
      </c>
      <c r="B13" s="1">
        <v>58</v>
      </c>
      <c r="C13" s="1" t="s">
        <v>21</v>
      </c>
      <c r="D13" s="1" t="s">
        <v>7</v>
      </c>
      <c r="E13" s="1" t="s">
        <v>8</v>
      </c>
      <c r="F13" s="1">
        <v>87</v>
      </c>
      <c r="G13" s="1">
        <v>90</v>
      </c>
      <c r="H13" s="1">
        <v>77</v>
      </c>
      <c r="I13" s="1">
        <v>97</v>
      </c>
      <c r="J13" s="1">
        <v>85</v>
      </c>
      <c r="K13" s="1">
        <v>87</v>
      </c>
      <c r="L13" s="8">
        <f t="shared" si="0"/>
        <v>523</v>
      </c>
      <c r="M13" s="5">
        <f t="shared" si="1"/>
        <v>87.166666666666671</v>
      </c>
      <c r="N13" s="1" t="s">
        <v>27</v>
      </c>
      <c r="O13" s="5" t="s">
        <v>26</v>
      </c>
      <c r="P13" s="1" t="str">
        <f t="shared" si="2"/>
        <v>PASS</v>
      </c>
      <c r="Q13" s="1" t="str">
        <f t="shared" si="8"/>
        <v>PASS</v>
      </c>
      <c r="R13" s="1" t="str">
        <f t="shared" si="3"/>
        <v>PASS</v>
      </c>
      <c r="S13" s="1" t="str">
        <f t="shared" si="4"/>
        <v>GOOD</v>
      </c>
      <c r="T13" s="1">
        <f t="shared" si="5"/>
        <v>77</v>
      </c>
      <c r="U13" s="1">
        <f t="shared" si="6"/>
        <v>97</v>
      </c>
      <c r="V13" s="1">
        <f t="shared" si="7"/>
        <v>523</v>
      </c>
    </row>
    <row r="14" spans="1:23" x14ac:dyDescent="0.25">
      <c r="A14" s="1">
        <v>9</v>
      </c>
      <c r="B14" s="1">
        <v>59</v>
      </c>
      <c r="C14" s="1" t="s">
        <v>22</v>
      </c>
      <c r="D14" s="1" t="s">
        <v>7</v>
      </c>
      <c r="E14" s="1" t="s">
        <v>8</v>
      </c>
      <c r="F14" s="1">
        <v>75</v>
      </c>
      <c r="G14" s="1">
        <v>97</v>
      </c>
      <c r="H14" s="1">
        <v>79</v>
      </c>
      <c r="I14" s="1">
        <v>87</v>
      </c>
      <c r="J14" s="1">
        <v>84</v>
      </c>
      <c r="K14" s="1">
        <v>60</v>
      </c>
      <c r="L14" s="8">
        <f t="shared" si="0"/>
        <v>482</v>
      </c>
      <c r="M14" s="5">
        <f t="shared" si="1"/>
        <v>80.333333333333329</v>
      </c>
      <c r="N14" s="1" t="s">
        <v>27</v>
      </c>
      <c r="O14" s="5" t="s">
        <v>26</v>
      </c>
      <c r="P14" s="1" t="str">
        <f t="shared" si="2"/>
        <v>PASS</v>
      </c>
      <c r="Q14" s="1" t="str">
        <f t="shared" si="8"/>
        <v>PASS</v>
      </c>
      <c r="R14" s="1" t="str">
        <f t="shared" si="3"/>
        <v>PASS</v>
      </c>
      <c r="S14" s="1" t="str">
        <f t="shared" si="4"/>
        <v>AVERAGE</v>
      </c>
      <c r="T14" s="1">
        <f t="shared" si="5"/>
        <v>60</v>
      </c>
      <c r="U14" s="1">
        <f t="shared" si="6"/>
        <v>97</v>
      </c>
      <c r="V14" s="1">
        <f t="shared" si="7"/>
        <v>482</v>
      </c>
    </row>
    <row r="15" spans="1:23" x14ac:dyDescent="0.25">
      <c r="A15" s="1">
        <v>10</v>
      </c>
      <c r="B15" s="1">
        <v>60</v>
      </c>
      <c r="C15" s="1" t="s">
        <v>23</v>
      </c>
      <c r="D15" s="1" t="s">
        <v>7</v>
      </c>
      <c r="E15" s="1" t="s">
        <v>8</v>
      </c>
      <c r="F15" s="1">
        <v>90</v>
      </c>
      <c r="G15" s="1">
        <v>93</v>
      </c>
      <c r="H15" s="1">
        <v>96</v>
      </c>
      <c r="I15" s="1">
        <v>97</v>
      </c>
      <c r="J15" s="1">
        <v>86</v>
      </c>
      <c r="K15" s="1">
        <v>76</v>
      </c>
      <c r="L15" s="8">
        <f t="shared" si="0"/>
        <v>538</v>
      </c>
      <c r="M15" s="5">
        <f t="shared" si="1"/>
        <v>89.666666666666671</v>
      </c>
      <c r="N15" s="1" t="s">
        <v>27</v>
      </c>
      <c r="O15" s="5" t="s">
        <v>26</v>
      </c>
      <c r="P15" s="1" t="str">
        <f t="shared" si="2"/>
        <v>PASS</v>
      </c>
      <c r="Q15" s="1" t="str">
        <f t="shared" si="8"/>
        <v>PASS</v>
      </c>
      <c r="R15" s="1" t="str">
        <f t="shared" si="3"/>
        <v>PASS</v>
      </c>
      <c r="S15" s="1" t="str">
        <f t="shared" si="4"/>
        <v>GOOD</v>
      </c>
      <c r="T15" s="1">
        <f t="shared" si="5"/>
        <v>76</v>
      </c>
      <c r="U15" s="1">
        <f t="shared" si="6"/>
        <v>97</v>
      </c>
      <c r="V15" s="1">
        <f t="shared" si="7"/>
        <v>538</v>
      </c>
    </row>
    <row r="16" spans="1:23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5" spans="1:22" x14ac:dyDescent="0.25">
      <c r="N25" t="s">
        <v>36</v>
      </c>
      <c r="P25">
        <v>5</v>
      </c>
    </row>
    <row r="26" spans="1:22" x14ac:dyDescent="0.25">
      <c r="N26" s="1" t="s">
        <v>25</v>
      </c>
      <c r="P26" t="str">
        <f>VLOOKUP(A10,A6:U15,3,FALSE)</f>
        <v>VISHNU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seetharamanj</dc:creator>
  <cp:lastModifiedBy>seetharamanj</cp:lastModifiedBy>
  <dcterms:created xsi:type="dcterms:W3CDTF">2026-06-25T02:57:07Z</dcterms:created>
  <dcterms:modified xsi:type="dcterms:W3CDTF">2026-07-09T04:38:52Z</dcterms:modified>
</cp:coreProperties>
</file>