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etharamanj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H8" i="1"/>
  <c r="F8" i="1"/>
  <c r="D8" i="1"/>
  <c r="B8" i="1"/>
  <c r="C8" i="1"/>
  <c r="E8" i="1" l="1"/>
  <c r="G8" i="1"/>
  <c r="I8" i="1"/>
  <c r="K8" i="1"/>
  <c r="L18" i="1"/>
  <c r="L17" i="1"/>
  <c r="L16" i="1"/>
  <c r="L15" i="1"/>
  <c r="L14" i="1"/>
  <c r="L13" i="1"/>
  <c r="L12" i="1"/>
  <c r="L11" i="1"/>
  <c r="L10" i="1"/>
  <c r="L9" i="1"/>
</calcChain>
</file>

<file path=xl/sharedStrings.xml><?xml version="1.0" encoding="utf-8"?>
<sst xmlns="http://schemas.openxmlformats.org/spreadsheetml/2006/main" count="49" uniqueCount="37">
  <si>
    <t>Finance</t>
  </si>
  <si>
    <t>Marketing</t>
  </si>
  <si>
    <t>IT</t>
  </si>
  <si>
    <t>HLOOOKUP Practice Data</t>
  </si>
  <si>
    <t>Empl ID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</si>
  <si>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</si>
  <si>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</si>
  <si>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</si>
  <si>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</si>
  <si>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</si>
  <si>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</si>
  <si>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</si>
  <si>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</si>
  <si>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</si>
  <si>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 xml:space="preserve">Record 10 </t>
  </si>
  <si>
    <t>Solution</t>
  </si>
  <si>
    <t xml:space="preserve">Name </t>
  </si>
  <si>
    <t>Department</t>
  </si>
  <si>
    <t>Location</t>
  </si>
  <si>
    <t>Salary</t>
  </si>
  <si>
    <t>Bonus%</t>
  </si>
  <si>
    <t>New York</t>
  </si>
  <si>
    <t>Bob Smith</t>
  </si>
  <si>
    <t>Chicago</t>
  </si>
  <si>
    <t>Carol Jones</t>
  </si>
  <si>
    <t>San Diego</t>
  </si>
  <si>
    <t>Allce Wong</t>
  </si>
  <si>
    <t>David Chen</t>
  </si>
  <si>
    <t>HR</t>
  </si>
  <si>
    <t>Emlly Davis</t>
  </si>
  <si>
    <t>Frank Lee</t>
  </si>
  <si>
    <t>Boston</t>
  </si>
  <si>
    <t>Grace Hall</t>
  </si>
  <si>
    <t>Henry Adams</t>
  </si>
  <si>
    <t>Irene Scort</t>
  </si>
  <si>
    <t>Jack White</t>
  </si>
  <si>
    <t>Bonus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</si>
</sst>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K10" sqref="K10"/>
    </sheetView>
  </sheetViews>
  <sheetFormatPr defaultRowHeight="15" x14ac:dyDescent="0.25"/>
  <cols>
    <col min="1" max="1" width="12.42578125" style="5" bestFit="1" customWidth="1"/>
    <col min="2" max="2" width="11" bestFit="1" customWidth="1"/>
    <col min="3" max="3" width="10" bestFit="1" customWidth="1"/>
    <col min="4" max="6" width="11" bestFit="1" customWidth="1"/>
    <col min="7" max="7" width="10" bestFit="1" customWidth="1"/>
    <col min="8" max="8" width="9.85546875" bestFit="1" customWidth="1"/>
    <col min="9" max="9" width="12.7109375" bestFit="1" customWidth="1"/>
    <col min="10" max="10" width="10.5703125" bestFit="1" customWidth="1"/>
    <col min="11" max="11" width="10.42578125" bestFit="1" customWidth="1"/>
    <col min="12" max="12" width="10.7109375" customWidth="1"/>
  </cols>
  <sheetData>
    <row r="1" spans="1:12" s="2" customFormat="1" ht="30" x14ac:dyDescent="0.25">
      <c r="A1" s="3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s="1" customFormat="1" x14ac:dyDescent="0.25">
      <c r="A2" s="4" t="s">
        <v>4</v>
      </c>
      <c r="B2" s="1">
        <v>101</v>
      </c>
      <c r="C2" s="1">
        <v>102</v>
      </c>
      <c r="D2" s="1">
        <v>103</v>
      </c>
      <c r="E2" s="1">
        <v>104</v>
      </c>
      <c r="F2" s="1">
        <v>105</v>
      </c>
      <c r="G2" s="1">
        <v>106</v>
      </c>
      <c r="H2" s="1">
        <v>107</v>
      </c>
      <c r="I2" s="1">
        <v>108</v>
      </c>
      <c r="J2" s="1">
        <v>109</v>
      </c>
      <c r="K2" s="1">
        <v>110</v>
      </c>
    </row>
    <row r="3" spans="1:12" x14ac:dyDescent="0.25">
      <c r="A3" s="5" t="s">
        <v>16</v>
      </c>
      <c r="B3" t="s">
        <v>26</v>
      </c>
      <c r="C3" t="s">
        <v>22</v>
      </c>
      <c r="D3" t="s">
        <v>24</v>
      </c>
      <c r="E3" t="s">
        <v>27</v>
      </c>
      <c r="F3" t="s">
        <v>29</v>
      </c>
      <c r="G3" t="s">
        <v>30</v>
      </c>
      <c r="H3" t="s">
        <v>32</v>
      </c>
      <c r="I3" t="s">
        <v>33</v>
      </c>
      <c r="J3" t="s">
        <v>34</v>
      </c>
      <c r="K3" t="s">
        <v>35</v>
      </c>
    </row>
    <row r="4" spans="1:12" x14ac:dyDescent="0.25">
      <c r="A4" s="5" t="s">
        <v>17</v>
      </c>
      <c r="B4" t="s">
        <v>0</v>
      </c>
      <c r="C4" t="s">
        <v>1</v>
      </c>
      <c r="D4" t="s">
        <v>2</v>
      </c>
      <c r="E4" t="s">
        <v>28</v>
      </c>
      <c r="F4" t="s">
        <v>0</v>
      </c>
      <c r="G4" t="s">
        <v>1</v>
      </c>
      <c r="H4" t="s">
        <v>2</v>
      </c>
      <c r="I4" t="s">
        <v>28</v>
      </c>
      <c r="J4" t="s">
        <v>0</v>
      </c>
      <c r="K4" t="s">
        <v>2</v>
      </c>
    </row>
    <row r="5" spans="1:12" x14ac:dyDescent="0.25">
      <c r="A5" s="5" t="s">
        <v>18</v>
      </c>
      <c r="B5" t="s">
        <v>21</v>
      </c>
      <c r="C5" t="s">
        <v>23</v>
      </c>
      <c r="D5" t="s">
        <v>25</v>
      </c>
      <c r="E5" t="s">
        <v>21</v>
      </c>
      <c r="F5" t="s">
        <v>23</v>
      </c>
      <c r="G5" t="s">
        <v>31</v>
      </c>
      <c r="H5" t="s">
        <v>25</v>
      </c>
      <c r="I5" t="s">
        <v>23</v>
      </c>
      <c r="J5" t="s">
        <v>31</v>
      </c>
      <c r="K5" t="s">
        <v>21</v>
      </c>
    </row>
    <row r="6" spans="1:12" x14ac:dyDescent="0.25">
      <c r="A6" s="5" t="s">
        <v>19</v>
      </c>
      <c r="B6">
        <v>65000</v>
      </c>
      <c r="C6">
        <v>72000</v>
      </c>
      <c r="D6">
        <v>80000</v>
      </c>
      <c r="E6">
        <v>58000</v>
      </c>
      <c r="F6">
        <v>62000</v>
      </c>
      <c r="G6">
        <v>76000</v>
      </c>
      <c r="H6">
        <v>82000</v>
      </c>
      <c r="I6">
        <v>55000</v>
      </c>
      <c r="J6">
        <v>68000</v>
      </c>
      <c r="K6">
        <v>85000</v>
      </c>
    </row>
    <row r="7" spans="1:12" x14ac:dyDescent="0.25">
      <c r="A7" s="5" t="s">
        <v>20</v>
      </c>
      <c r="B7">
        <v>0.1</v>
      </c>
      <c r="C7">
        <v>0.12</v>
      </c>
      <c r="D7">
        <v>0.08</v>
      </c>
      <c r="E7">
        <v>0.09</v>
      </c>
      <c r="F7">
        <v>0.11</v>
      </c>
      <c r="G7">
        <v>0.1</v>
      </c>
      <c r="H7">
        <v>7.0000000000000007E-2</v>
      </c>
      <c r="I7">
        <v>0.09</v>
      </c>
      <c r="J7">
        <v>0.1</v>
      </c>
      <c r="K7">
        <v>0.12</v>
      </c>
    </row>
    <row r="8" spans="1:12" ht="30" x14ac:dyDescent="0.25">
      <c r="A8" s="5" t="s">
        <v>36</v>
      </c>
      <c r="B8">
        <f>B6*B7</f>
        <v>6500</v>
      </c>
      <c r="C8">
        <f>C6*C7</f>
        <v>8640</v>
      </c>
      <c r="D8">
        <f>D6*D7</f>
        <v>6400</v>
      </c>
      <c r="E8">
        <f t="shared" ref="E8" si="0">E6*E7</f>
        <v>5220</v>
      </c>
      <c r="F8">
        <f>F6*F7</f>
        <v>6820</v>
      </c>
      <c r="G8">
        <f t="shared" ref="G8" si="1">G6*G7</f>
        <v>7600</v>
      </c>
      <c r="H8">
        <f>H6*H7</f>
        <v>5740.0000000000009</v>
      </c>
      <c r="I8">
        <f t="shared" ref="I8" si="2">I6*I7</f>
        <v>4950</v>
      </c>
      <c r="J8">
        <f>J6*J7</f>
        <v>6800</v>
      </c>
      <c r="K8">
        <f t="shared" ref="K8" si="3">K6*K7</f>
        <v>10200</v>
      </c>
    </row>
    <row r="9" spans="1:12" x14ac:dyDescent="0.25">
      <c r="L9" t="str">
        <f>HLOOKUP(104,B2:K7,2)</f>
        <v>David Chen</v>
      </c>
    </row>
    <row r="10" spans="1:12" x14ac:dyDescent="0.25">
      <c r="L10" t="str">
        <f>HLOOKUP(106,B2:K7,3)</f>
        <v>Marketing</v>
      </c>
    </row>
    <row r="11" spans="1:12" x14ac:dyDescent="0.25">
      <c r="L11">
        <f>HLOOKUP(102,B2:K7,6)</f>
        <v>0.12</v>
      </c>
    </row>
    <row r="12" spans="1:12" x14ac:dyDescent="0.25">
      <c r="L12">
        <f>HLOOKUP(109,B2:K7,6)</f>
        <v>0.1</v>
      </c>
    </row>
    <row r="13" spans="1:12" x14ac:dyDescent="0.25">
      <c r="L13" t="str">
        <f>HLOOKUP(101,B2:K7,4)</f>
        <v>New York</v>
      </c>
    </row>
    <row r="14" spans="1:12" x14ac:dyDescent="0.25">
      <c r="L14">
        <f>HLOOKUP(110,B2:K7,5)</f>
        <v>85000</v>
      </c>
    </row>
    <row r="15" spans="1:12" x14ac:dyDescent="0.25">
      <c r="L15" t="str">
        <f>HLOOKUP(103,B2:K7,3)</f>
        <v>IT</v>
      </c>
    </row>
    <row r="16" spans="1:12" x14ac:dyDescent="0.25">
      <c r="L16" t="str">
        <f>HLOOKUP(105,B2:K7,2)</f>
        <v>Emlly Davis</v>
      </c>
    </row>
    <row r="17" spans="12:12" x14ac:dyDescent="0.25">
      <c r="L17">
        <f>HLOOKUP(105, B2:K7, 5, FALSE) + HLOOKUP(105, B2:K7, 5, FALSE)*HLOOKUP(105, B2:K7,6, FALSE)</f>
        <v>68820</v>
      </c>
    </row>
    <row r="18" spans="12:12" x14ac:dyDescent="0.25">
      <c r="L18" t="str">
        <f>HLOOKUP(107,B2:K7,4)</f>
        <v>San Diego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seetharamanj</dc:creator>
  <cp:lastModifiedBy>seetharamanj</cp:lastModifiedBy>
  <dcterms:created xsi:type="dcterms:W3CDTF">2026-07-16T15:50:56Z</dcterms:created>
  <dcterms:modified xsi:type="dcterms:W3CDTF">2026-07-23T16:23:21Z</dcterms:modified>
</cp:coreProperties>
</file>